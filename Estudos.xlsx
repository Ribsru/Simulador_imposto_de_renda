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hidePivotFieldList="1"/>
  <xr:revisionPtr revIDLastSave="0" documentId="8_{702F71AA-7CBE-43BD-8322-B9692E3A1C36}" xr6:coauthVersionLast="47" xr6:coauthVersionMax="47" xr10:uidLastSave="{00000000-0000-0000-0000-000000000000}"/>
  <bookViews>
    <workbookView xWindow="240" yWindow="105" windowWidth="14805" windowHeight="8010" firstSheet="2" activeTab="2" xr2:uid="{00000000-000D-0000-FFFF-FFFF00000000}"/>
  </bookViews>
  <sheets>
    <sheet name="Rendimentos" sheetId="5" state="hidden" r:id="rId1"/>
    <sheet name="Apoio" sheetId="6" state="hidden" r:id="rId2"/>
    <sheet name="TÍTULAR" sheetId="7" r:id="rId3"/>
    <sheet name="INFORMES" sheetId="9" r:id="rId4"/>
    <sheet name="NOTAS" sheetId="8" r:id="rId5"/>
    <sheet name="TABELAS" sheetId="10" r:id="rId6"/>
  </sheets>
  <definedNames>
    <definedName name="rendimento_carteira">Rendimentos!$D$6:$D$6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9" l="1"/>
  <c r="C34" i="5"/>
  <c r="D34" i="5" s="1"/>
  <c r="C35" i="5"/>
  <c r="D35" i="5" s="1"/>
  <c r="C36" i="5"/>
  <c r="D36" i="5" s="1"/>
  <c r="C37" i="5"/>
  <c r="D37" i="5" s="1"/>
  <c r="C38" i="5"/>
  <c r="D38" i="5" s="1"/>
  <c r="C33" i="5"/>
  <c r="D33" i="5" s="1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4" i="6"/>
  <c r="D29" i="5"/>
  <c r="D39" i="5"/>
  <c r="D7" i="5"/>
  <c r="D12" i="5" s="1"/>
  <c r="C20" i="5"/>
  <c r="D20" i="5" s="1" a="1"/>
  <c r="D20" i="5" s="1"/>
  <c r="C21" i="5"/>
  <c r="D21" i="5" s="1" a="1"/>
  <c r="D21" i="5" s="1"/>
  <c r="C22" i="5"/>
  <c r="D22" i="5" s="1" a="1"/>
  <c r="D22" i="5" s="1"/>
  <c r="C23" i="5"/>
  <c r="D23" i="5" s="1" a="1"/>
  <c r="D23" i="5" s="1"/>
  <c r="C24" i="5"/>
  <c r="D24" i="5" s="1" a="1"/>
  <c r="D24" i="5" s="1"/>
  <c r="C25" i="5"/>
  <c r="D25" i="5" s="1" a="1"/>
  <c r="D25" i="5" s="1"/>
  <c r="C19" i="5"/>
  <c r="D19" i="5" s="1" a="1"/>
  <c r="D19" i="5" s="1"/>
  <c r="D15" i="5"/>
  <c r="D16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<sst xmlns="http://schemas.openxmlformats.org/spreadsheetml/2006/main" count="186" uniqueCount="133">
  <si>
    <t>Configurações</t>
  </si>
  <si>
    <t>Salário</t>
  </si>
  <si>
    <t>Rendimento da carteira</t>
  </si>
  <si>
    <t>Sugestão de investimento</t>
  </si>
  <si>
    <t>Investimento mensal</t>
  </si>
  <si>
    <t>Quanto investir por mês?</t>
  </si>
  <si>
    <t>Por quantos anos?</t>
  </si>
  <si>
    <t>Taxa de redimentos mensal?</t>
  </si>
  <si>
    <t>Patrimonio aculmulado?</t>
  </si>
  <si>
    <t>Dividendos mensais?</t>
  </si>
  <si>
    <t>Cenários</t>
  </si>
  <si>
    <t>Rendimentos</t>
  </si>
  <si>
    <t>Quanto em 2 anos?</t>
  </si>
  <si>
    <t>Quanto em 5 anos?</t>
  </si>
  <si>
    <t>Quanto em 9 anos?</t>
  </si>
  <si>
    <t>Quanto em 10 anos?</t>
  </si>
  <si>
    <t>Quanto em 15 anos?</t>
  </si>
  <si>
    <t>Quanto em 20 anos?</t>
  </si>
  <si>
    <t>Quanto em 30 anos?</t>
  </si>
  <si>
    <t>PERFIL</t>
  </si>
  <si>
    <t>Agressivo</t>
  </si>
  <si>
    <t>VALOR INVESTIDO POR MÊS</t>
  </si>
  <si>
    <t>TIPOS DE FII</t>
  </si>
  <si>
    <t>PERCENTUAL SUGERIDO</t>
  </si>
  <si>
    <t>VALORES</t>
  </si>
  <si>
    <t>PAPEL</t>
  </si>
  <si>
    <t>TIJOLO</t>
  </si>
  <si>
    <t>HÍBRIDO</t>
  </si>
  <si>
    <t>FOFs</t>
  </si>
  <si>
    <t>DESENVOLVIMENTO</t>
  </si>
  <si>
    <t>HOTELARIAS</t>
  </si>
  <si>
    <t>CHAVE</t>
  </si>
  <si>
    <t>PORCENTAGEM (%)</t>
  </si>
  <si>
    <t>Conservador</t>
  </si>
  <si>
    <t>Moderado</t>
  </si>
  <si>
    <t xml:space="preserve">1. DADOS DO TÍTULAR </t>
  </si>
  <si>
    <t>preencha abaixo com os dados do títular</t>
  </si>
  <si>
    <t>NOME</t>
  </si>
  <si>
    <t>Ryland Grace</t>
  </si>
  <si>
    <t>CPF</t>
  </si>
  <si>
    <t>875.963.257-13</t>
  </si>
  <si>
    <t>NASCIMENTO</t>
  </si>
  <si>
    <t>TÍTULO DE ELEITOR</t>
  </si>
  <si>
    <t>14759638-5</t>
  </si>
  <si>
    <t>CÔNJUGE</t>
  </si>
  <si>
    <t>Marcelina</t>
  </si>
  <si>
    <t>RUA</t>
  </si>
  <si>
    <t>Rua Tiradentes</t>
  </si>
  <si>
    <t>RUA ABREVIADA</t>
  </si>
  <si>
    <t>CEP</t>
  </si>
  <si>
    <t>098045-9</t>
  </si>
  <si>
    <t>TELEFONE</t>
  </si>
  <si>
    <t>(11)95863-8512</t>
  </si>
  <si>
    <t>CELULAR</t>
  </si>
  <si>
    <t>3546-9621</t>
  </si>
  <si>
    <t>E-MAIL</t>
  </si>
  <si>
    <t>grace.ryland@gmail.com</t>
  </si>
  <si>
    <t>HOUVE ALTERAÇÕES NA ENTREGA ANTERIOR</t>
  </si>
  <si>
    <t>NÃO</t>
  </si>
  <si>
    <t>DEPENDENTE CÔNJUGE</t>
  </si>
  <si>
    <t>RESIDENTE DO EXTERIOR</t>
  </si>
  <si>
    <t>SIM</t>
  </si>
  <si>
    <t>2. INFORMES DE RENDIMENTO BANCÁRIO</t>
  </si>
  <si>
    <t>TOTAL</t>
  </si>
  <si>
    <t>1º banco</t>
  </si>
  <si>
    <t>BANCO</t>
  </si>
  <si>
    <t>341 - Itaú Unibanco</t>
  </si>
  <si>
    <t>VALOR ATUAL</t>
  </si>
  <si>
    <t>ANEXO</t>
  </si>
  <si>
    <t>recibo_itau_2034.pdf</t>
  </si>
  <si>
    <t>2º banco</t>
  </si>
  <si>
    <t>1 - Banco do Brasil</t>
  </si>
  <si>
    <t>recibo_bb_2034.pdf</t>
  </si>
  <si>
    <t>3º banco</t>
  </si>
  <si>
    <t>74 - Banco J. Safra</t>
  </si>
  <si>
    <t>recibo_safra_2034.pdf</t>
  </si>
  <si>
    <t>3. NOTAS BANCÁRIAS OU EXTRATO DE HOLERITES</t>
  </si>
  <si>
    <t>são todos os valores de entrada mês a mês de receita</t>
  </si>
  <si>
    <t>ENTRADAS</t>
  </si>
  <si>
    <t>DATA</t>
  </si>
  <si>
    <t>CATEGORIA</t>
  </si>
  <si>
    <t>VALOR</t>
  </si>
  <si>
    <t>CNPJ</t>
  </si>
  <si>
    <t>HOLERITE</t>
  </si>
  <si>
    <t>FREELANCER</t>
  </si>
  <si>
    <t>BANCOS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</si>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</sst>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&quot;R$&quot;\ #,##0.00"/>
  </numFmts>
  <fonts count="15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20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Calibri"/>
      <scheme val="minor"/>
    </font>
    <font>
      <sz val="11"/>
      <color rgb="FFFFFFFF"/>
      <name val="Aptos Narrow"/>
      <scheme val="minor"/>
    </font>
    <font>
      <b/>
      <sz val="16"/>
      <color rgb="FF000000"/>
      <name val="Aptos Narrow"/>
      <scheme val="minor"/>
    </font>
    <font>
      <u/>
      <sz val="11"/>
      <color theme="10"/>
      <name val="Aptos Narrow"/>
      <family val="2"/>
      <scheme val="minor"/>
    </font>
    <font>
      <i/>
      <sz val="10"/>
      <color theme="1"/>
      <name val="Arial"/>
      <charset val="1"/>
    </font>
    <font>
      <b/>
      <sz val="16"/>
      <color rgb="FF215C98"/>
      <name val="Verdana"/>
    </font>
    <font>
      <i/>
      <sz val="9"/>
      <color theme="2" tint="-0.499984740745262"/>
      <name val="Aptos Narrow"/>
      <scheme val="minor"/>
    </font>
    <font>
      <sz val="11"/>
      <color theme="2" tint="-0.499984740745262"/>
      <name val="Verdana"/>
    </font>
    <font>
      <sz val="11"/>
      <color theme="2" tint="-0.499984740745262"/>
      <name val="Aptos Narrow"/>
      <family val="2"/>
      <scheme val="minor"/>
    </font>
    <font>
      <i/>
      <sz val="10"/>
      <color theme="2" tint="-0.499984740745262"/>
      <name val="Arial"/>
      <charset val="1"/>
    </font>
    <font>
      <sz val="11"/>
      <color rgb="FF0D0D0D"/>
      <name val="Aptos Narrow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rgb="FFFFEB9C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3D3D3D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49998474074526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theme="0" tint="-4.9989318521683403E-2"/>
      </left>
      <right/>
      <top/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 style="medium">
        <color rgb="FF000000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medium">
        <color rgb="FF000000"/>
      </right>
      <top style="thin">
        <color theme="0" tint="-4.9989318521683403E-2"/>
      </top>
      <bottom style="thin">
        <color theme="0" tint="-4.9989318521683403E-2"/>
      </bottom>
      <diagonal/>
    </border>
    <border>
      <left style="medium">
        <color rgb="FF000000"/>
      </left>
      <right style="thin">
        <color theme="0" tint="-4.9989318521683403E-2"/>
      </right>
      <top style="thin">
        <color theme="0" tint="-4.9989318521683403E-2"/>
      </top>
      <bottom style="medium">
        <color rgb="FF000000"/>
      </bottom>
      <diagonal/>
    </border>
    <border>
      <left style="thin">
        <color theme="0" tint="-4.9989318521683403E-2"/>
      </left>
      <right style="medium">
        <color rgb="FF000000"/>
      </right>
      <top style="thin">
        <color theme="0" tint="-4.9989318521683403E-2"/>
      </top>
      <bottom style="medium">
        <color rgb="FF000000"/>
      </bottom>
      <diagonal/>
    </border>
    <border>
      <left/>
      <right style="medium">
        <color rgb="FF000000"/>
      </right>
      <top/>
      <bottom style="thin">
        <color theme="0" tint="-4.9989318521683403E-2"/>
      </bottom>
      <diagonal/>
    </border>
    <border>
      <left/>
      <right style="medium">
        <color rgb="FF000000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medium">
        <color rgb="FF000000"/>
      </bottom>
      <diagonal/>
    </border>
    <border>
      <left/>
      <right style="medium">
        <color rgb="FF000000"/>
      </right>
      <top style="thin">
        <color theme="0" tint="-4.9989318521683403E-2"/>
      </top>
      <bottom style="medium">
        <color rgb="FF000000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medium">
        <color rgb="FF000000"/>
      </right>
      <top/>
      <bottom style="thin">
        <color theme="0" tint="-4.9989318521683403E-2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medium">
        <color theme="3" tint="0.249977111117893"/>
      </bottom>
      <diagonal/>
    </border>
    <border>
      <left/>
      <right/>
      <top style="medium">
        <color theme="3" tint="0.249977111117893"/>
      </top>
      <bottom/>
      <diagonal/>
    </border>
  </borders>
  <cellStyleXfs count="3">
    <xf numFmtId="0" fontId="0" fillId="0" borderId="0"/>
    <xf numFmtId="0" fontId="4" fillId="3" borderId="0" applyNumberFormat="0" applyBorder="0" applyAlignment="0" applyProtection="0"/>
    <xf numFmtId="0" fontId="7" fillId="0" borderId="0" applyNumberFormat="0" applyFill="0" applyBorder="0" applyAlignment="0" applyProtection="0"/>
  </cellStyleXfs>
  <cellXfs count="7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164" fontId="0" fillId="0" borderId="9" xfId="0" applyNumberFormat="1" applyBorder="1" applyAlignment="1">
      <alignment horizontal="center"/>
    </xf>
    <xf numFmtId="10" fontId="0" fillId="0" borderId="10" xfId="0" applyNumberFormat="1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10" fontId="0" fillId="0" borderId="6" xfId="0" applyNumberFormat="1" applyBorder="1" applyAlignment="1">
      <alignment horizontal="center"/>
    </xf>
    <xf numFmtId="0" fontId="5" fillId="2" borderId="16" xfId="0" applyFont="1" applyFill="1" applyBorder="1" applyAlignment="1">
      <alignment horizontal="center" vertical="center"/>
    </xf>
    <xf numFmtId="164" fontId="0" fillId="0" borderId="19" xfId="0" applyNumberFormat="1" applyBorder="1" applyAlignment="1">
      <alignment horizontal="center"/>
    </xf>
    <xf numFmtId="0" fontId="4" fillId="3" borderId="0" xfId="1" applyAlignment="1">
      <alignment horizontal="center" wrapText="1"/>
    </xf>
    <xf numFmtId="164" fontId="3" fillId="6" borderId="0" xfId="0" applyNumberFormat="1" applyFont="1" applyFill="1" applyAlignment="1">
      <alignment horizontal="center"/>
    </xf>
    <xf numFmtId="8" fontId="0" fillId="6" borderId="6" xfId="0" applyNumberFormat="1" applyFill="1" applyBorder="1" applyAlignment="1">
      <alignment horizontal="center"/>
    </xf>
    <xf numFmtId="8" fontId="0" fillId="6" borderId="8" xfId="0" applyNumberFormat="1" applyFill="1" applyBorder="1" applyAlignment="1">
      <alignment horizontal="center"/>
    </xf>
    <xf numFmtId="0" fontId="0" fillId="6" borderId="17" xfId="0" applyFill="1" applyBorder="1"/>
    <xf numFmtId="8" fontId="0" fillId="6" borderId="18" xfId="0" applyNumberFormat="1" applyFill="1" applyBorder="1" applyAlignment="1">
      <alignment horizontal="center"/>
    </xf>
    <xf numFmtId="8" fontId="0" fillId="6" borderId="19" xfId="0" applyNumberFormat="1" applyFill="1" applyBorder="1" applyAlignment="1">
      <alignment horizontal="center"/>
    </xf>
    <xf numFmtId="0" fontId="0" fillId="6" borderId="5" xfId="0" applyFill="1" applyBorder="1"/>
    <xf numFmtId="8" fontId="0" fillId="6" borderId="3" xfId="0" applyNumberFormat="1" applyFill="1" applyBorder="1" applyAlignment="1">
      <alignment horizontal="center"/>
    </xf>
    <xf numFmtId="0" fontId="0" fillId="6" borderId="7" xfId="0" applyFill="1" applyBorder="1"/>
    <xf numFmtId="8" fontId="0" fillId="6" borderId="11" xfId="0" applyNumberFormat="1" applyFill="1" applyBorder="1" applyAlignment="1">
      <alignment horizontal="center"/>
    </xf>
    <xf numFmtId="9" fontId="0" fillId="0" borderId="0" xfId="0" applyNumberFormat="1" applyAlignment="1">
      <alignment horizontal="center"/>
    </xf>
    <xf numFmtId="0" fontId="0" fillId="4" borderId="0" xfId="0" applyFill="1"/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 wrapText="1"/>
    </xf>
    <xf numFmtId="164" fontId="0" fillId="4" borderId="0" xfId="0" applyNumberFormat="1" applyFill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164" fontId="0" fillId="0" borderId="0" xfId="0" applyNumberFormat="1" applyAlignment="1">
      <alignment horizontal="center" wrapText="1"/>
    </xf>
    <xf numFmtId="0" fontId="0" fillId="7" borderId="0" xfId="0" applyFill="1"/>
    <xf numFmtId="0" fontId="4" fillId="3" borderId="20" xfId="1" applyBorder="1" applyAlignment="1">
      <alignment horizontal="left"/>
    </xf>
    <xf numFmtId="0" fontId="4" fillId="3" borderId="21" xfId="1" applyBorder="1" applyAlignment="1">
      <alignment horizontal="left"/>
    </xf>
    <xf numFmtId="0" fontId="0" fillId="0" borderId="20" xfId="0" applyBorder="1"/>
    <xf numFmtId="0" fontId="0" fillId="0" borderId="22" xfId="0" applyBorder="1"/>
    <xf numFmtId="0" fontId="8" fillId="0" borderId="0" xfId="0" applyFont="1" applyAlignment="1">
      <alignment wrapText="1"/>
    </xf>
    <xf numFmtId="0" fontId="9" fillId="0" borderId="22" xfId="0" applyFont="1" applyBorder="1"/>
    <xf numFmtId="0" fontId="4" fillId="3" borderId="21" xfId="1" applyNumberFormat="1" applyBorder="1" applyAlignment="1">
      <alignment horizontal="left"/>
    </xf>
    <xf numFmtId="14" fontId="4" fillId="3" borderId="21" xfId="1" applyNumberFormat="1" applyBorder="1" applyAlignment="1">
      <alignment horizontal="left"/>
    </xf>
    <xf numFmtId="0" fontId="7" fillId="3" borderId="21" xfId="2" applyFill="1" applyBorder="1" applyAlignment="1">
      <alignment horizontal="left"/>
    </xf>
    <xf numFmtId="0" fontId="1" fillId="8" borderId="0" xfId="0" applyFont="1" applyFill="1"/>
    <xf numFmtId="0" fontId="0" fillId="0" borderId="0" xfId="0" applyAlignment="1">
      <alignment wrapText="1"/>
    </xf>
    <xf numFmtId="164" fontId="4" fillId="3" borderId="21" xfId="1" applyNumberFormat="1" applyBorder="1" applyAlignment="1">
      <alignment horizontal="left"/>
    </xf>
    <xf numFmtId="0" fontId="10" fillId="0" borderId="0" xfId="0" applyFont="1"/>
    <xf numFmtId="0" fontId="11" fillId="0" borderId="21" xfId="0" applyFont="1" applyFill="1" applyBorder="1" applyAlignment="1">
      <alignment horizontal="right"/>
    </xf>
    <xf numFmtId="0" fontId="12" fillId="0" borderId="0" xfId="0" applyFont="1"/>
    <xf numFmtId="0" fontId="13" fillId="0" borderId="0" xfId="0" applyFont="1" applyAlignment="1">
      <alignment wrapText="1"/>
    </xf>
    <xf numFmtId="0" fontId="11" fillId="0" borderId="20" xfId="0" applyFont="1" applyFill="1" applyBorder="1" applyAlignment="1">
      <alignment horizontal="right"/>
    </xf>
    <xf numFmtId="0" fontId="3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6" fillId="5" borderId="14" xfId="0" applyFont="1" applyFill="1" applyBorder="1" applyAlignment="1">
      <alignment horizontal="center"/>
    </xf>
    <xf numFmtId="0" fontId="6" fillId="5" borderId="15" xfId="0" applyFont="1" applyFill="1" applyBorder="1" applyAlignment="1">
      <alignment horizontal="center"/>
    </xf>
    <xf numFmtId="0" fontId="6" fillId="5" borderId="16" xfId="0" applyFont="1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1" xfId="0" applyBorder="1" applyAlignment="1">
      <alignment horizontal="center"/>
    </xf>
    <xf numFmtId="0" fontId="3" fillId="6" borderId="0" xfId="0" applyFont="1" applyFill="1" applyAlignment="1">
      <alignment horizontal="center" wrapText="1"/>
    </xf>
    <xf numFmtId="0" fontId="4" fillId="3" borderId="0" xfId="1" applyAlignment="1">
      <alignment horizontal="center"/>
    </xf>
    <xf numFmtId="0" fontId="2" fillId="2" borderId="14" xfId="0" applyFont="1" applyFill="1" applyBorder="1" applyAlignment="1">
      <alignment horizontal="center" wrapText="1"/>
    </xf>
    <xf numFmtId="0" fontId="2" fillId="2" borderId="15" xfId="0" applyFont="1" applyFill="1" applyBorder="1" applyAlignment="1">
      <alignment horizontal="center" wrapText="1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6" borderId="5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3" fillId="6" borderId="7" xfId="0" applyFont="1" applyFill="1" applyBorder="1" applyAlignment="1">
      <alignment horizontal="center"/>
    </xf>
    <xf numFmtId="0" fontId="3" fillId="6" borderId="13" xfId="0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 wrapText="1"/>
    </xf>
    <xf numFmtId="0" fontId="9" fillId="0" borderId="22" xfId="0" applyFont="1" applyBorder="1" applyAlignment="1">
      <alignment horizontal="left" wrapText="1"/>
    </xf>
    <xf numFmtId="164" fontId="4" fillId="3" borderId="0" xfId="1" applyNumberFormat="1" applyAlignment="1">
      <alignment horizontal="center"/>
    </xf>
    <xf numFmtId="0" fontId="14" fillId="9" borderId="0" xfId="0" applyFont="1" applyFill="1" applyAlignment="1">
      <alignment horizontal="center"/>
    </xf>
    <xf numFmtId="0" fontId="12" fillId="9" borderId="0" xfId="0" applyFont="1" applyFill="1" applyAlignment="1">
      <alignment horizontal="center"/>
    </xf>
    <xf numFmtId="0" fontId="9" fillId="0" borderId="22" xfId="0" applyFont="1" applyBorder="1" applyAlignment="1">
      <alignment horizontal="left"/>
    </xf>
    <xf numFmtId="0" fontId="8" fillId="0" borderId="23" xfId="0" applyFont="1" applyBorder="1" applyAlignment="1">
      <alignment horizontal="left" wrapText="1"/>
    </xf>
  </cellXfs>
  <cellStyles count="3">
    <cellStyle name="Hyperlink" xfId="2" xr:uid="{00000000-000B-0000-0000-000008000000}"/>
    <cellStyle name="Neutro" xfId="1" builtinId="28"/>
    <cellStyle name="Normal" xfId="0" builtinId="0"/>
  </cellStyles>
  <dxfs count="5">
    <dxf>
      <numFmt numFmtId="164" formatCode="&quot;R$&quot;\ #,##0.00"/>
      <alignment horizontal="center"/>
    </dxf>
    <dxf>
      <alignment horizontal="center"/>
    </dxf>
    <dxf>
      <numFmt numFmtId="19" formatCode="dd/mm/yyyy"/>
      <alignment horizontal="center"/>
    </dxf>
    <dxf>
      <alignment horizont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Medium9"/>
  <colors>
    <mruColors>
      <color rgb="FF3D3D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Rendimentos!$C$32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34B-4A8B-95A4-EE9A60CAC3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34B-4A8B-95A4-EE9A60CAC3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34B-4A8B-95A4-EE9A60CAC3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34B-4A8B-95A4-EE9A60CAC3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34B-4A8B-95A4-EE9A60CAC3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34B-4A8B-95A4-EE9A60CAC36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Rendimentos!$B$33:$B$38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Rendimentos!$C$33:$C$38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1D-494D-833C-CFE5B334DB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581025</xdr:colOff>
      <xdr:row>39</xdr:row>
      <xdr:rowOff>133350</xdr:rowOff>
    </xdr:from>
    <xdr:to>
      <xdr:col>3</xdr:col>
      <xdr:colOff>847725</xdr:colOff>
      <xdr:row>57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CCE3527-2A46-E301-7AD7-845C994E11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57150</xdr:rowOff>
    </xdr:from>
    <xdr:to>
      <xdr:col>0</xdr:col>
      <xdr:colOff>2552700</xdr:colOff>
      <xdr:row>15</xdr:row>
      <xdr:rowOff>76200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31A784E-AC26-8E85-EFC3-2797F78322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38150"/>
          <a:ext cx="2552700" cy="255270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0</xdr:row>
      <xdr:rowOff>9525</xdr:rowOff>
    </xdr:from>
    <xdr:to>
      <xdr:col>0</xdr:col>
      <xdr:colOff>2524125</xdr:colOff>
      <xdr:row>4</xdr:row>
      <xdr:rowOff>114300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D68EF40E-1AF0-0533-3B60-4FDFA6B00096}"/>
            </a:ext>
            <a:ext uri="{147F2762-F138-4A5C-976F-8EAC2B608ADB}">
              <a16:predDERef xmlns:a16="http://schemas.microsoft.com/office/drawing/2014/main" pred="{C31A784E-AC26-8E85-EFC3-2797F783220F}"/>
            </a:ext>
          </a:extLst>
        </xdr:cNvPr>
        <xdr:cNvSpPr/>
      </xdr:nvSpPr>
      <xdr:spPr>
        <a:xfrm>
          <a:off x="9525" y="9525"/>
          <a:ext cx="2514600" cy="866775"/>
        </a:xfrm>
        <a:prstGeom prst="rect">
          <a:avLst/>
        </a:prstGeom>
        <a:solidFill>
          <a:srgbClr val="3D3D3D"/>
        </a:solidFill>
        <a:ln>
          <a:solidFill>
            <a:srgbClr val="3D3D3D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2000" b="1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LION APP</a:t>
          </a:r>
        </a:p>
      </xdr:txBody>
    </xdr:sp>
    <xdr:clientData/>
  </xdr:twoCellAnchor>
  <xdr:twoCellAnchor>
    <xdr:from>
      <xdr:col>0</xdr:col>
      <xdr:colOff>361950</xdr:colOff>
      <xdr:row>15</xdr:row>
      <xdr:rowOff>85725</xdr:rowOff>
    </xdr:from>
    <xdr:to>
      <xdr:col>0</xdr:col>
      <xdr:colOff>2124075</xdr:colOff>
      <xdr:row>18</xdr:row>
      <xdr:rowOff>85725</xdr:rowOff>
    </xdr:to>
    <xdr:sp macro="" textlink="">
      <xdr:nvSpPr>
        <xdr:cNvPr id="7" name="Retângulo Arredondado 6">
          <a:extLst>
            <a:ext uri="{FF2B5EF4-FFF2-40B4-BE49-F238E27FC236}">
              <a16:creationId xmlns:a16="http://schemas.microsoft.com/office/drawing/2014/main" id="{922DF54B-A9EB-5DDF-F2F5-DA326C63E4A2}"/>
            </a:ext>
            <a:ext uri="{147F2762-F138-4A5C-976F-8EAC2B608ADB}">
              <a16:predDERef xmlns:a16="http://schemas.microsoft.com/office/drawing/2014/main" pred="{D68EF40E-1AF0-0533-3B60-4FDFA6B00096}"/>
            </a:ext>
          </a:extLst>
        </xdr:cNvPr>
        <xdr:cNvSpPr/>
      </xdr:nvSpPr>
      <xdr:spPr>
        <a:xfrm>
          <a:off x="361950" y="2990850"/>
          <a:ext cx="1762125" cy="571500"/>
        </a:xfrm>
        <a:prstGeom prst="round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800" b="0" i="0" u="none" strike="noStrike">
              <a:solidFill>
                <a:schemeClr val="lt1"/>
              </a:solidFill>
              <a:latin typeface="Verdana" panose="020B0604030504040204" pitchFamily="34" charset="0"/>
              <a:ea typeface="Verdana" panose="020B0604030504040204" pitchFamily="34" charset="0"/>
            </a:rPr>
            <a:t>TÍTULAR</a:t>
          </a:r>
        </a:p>
      </xdr:txBody>
    </xdr:sp>
    <xdr:clientData/>
  </xdr:twoCellAnchor>
  <xdr:twoCellAnchor>
    <xdr:from>
      <xdr:col>0</xdr:col>
      <xdr:colOff>352425</xdr:colOff>
      <xdr:row>23</xdr:row>
      <xdr:rowOff>95250</xdr:rowOff>
    </xdr:from>
    <xdr:to>
      <xdr:col>0</xdr:col>
      <xdr:colOff>2114550</xdr:colOff>
      <xdr:row>26</xdr:row>
      <xdr:rowOff>95250</xdr:rowOff>
    </xdr:to>
    <xdr:sp macro="" textlink="">
      <xdr:nvSpPr>
        <xdr:cNvPr id="9" name="Retângulo Arredondado 8">
          <a:extLst>
            <a:ext uri="{FF2B5EF4-FFF2-40B4-BE49-F238E27FC236}">
              <a16:creationId xmlns:a16="http://schemas.microsoft.com/office/drawing/2014/main" id="{F3F761A8-D29D-4518-A29B-7494C6EB346E}"/>
            </a:ext>
            <a:ext uri="{147F2762-F138-4A5C-976F-8EAC2B608ADB}">
              <a16:predDERef xmlns:a16="http://schemas.microsoft.com/office/drawing/2014/main" pred="{922DF54B-A9EB-5DDF-F2F5-DA326C63E4A2}"/>
            </a:ext>
          </a:extLst>
        </xdr:cNvPr>
        <xdr:cNvSpPr/>
      </xdr:nvSpPr>
      <xdr:spPr>
        <a:xfrm>
          <a:off x="352425" y="4524375"/>
          <a:ext cx="1762125" cy="571500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800" b="0" i="0" u="none" strike="noStrike">
              <a:solidFill>
                <a:schemeClr val="lt1"/>
              </a:solidFill>
              <a:latin typeface="Verdana" panose="020B0604030504040204" pitchFamily="34" charset="0"/>
              <a:ea typeface="Verdana" panose="020B0604030504040204" pitchFamily="34" charset="0"/>
            </a:rPr>
            <a:t>NOTAS</a:t>
          </a:r>
        </a:p>
      </xdr:txBody>
    </xdr:sp>
    <xdr:clientData/>
  </xdr:twoCellAnchor>
  <xdr:twoCellAnchor>
    <xdr:from>
      <xdr:col>0</xdr:col>
      <xdr:colOff>352425</xdr:colOff>
      <xdr:row>19</xdr:row>
      <xdr:rowOff>76200</xdr:rowOff>
    </xdr:from>
    <xdr:to>
      <xdr:col>0</xdr:col>
      <xdr:colOff>2114550</xdr:colOff>
      <xdr:row>22</xdr:row>
      <xdr:rowOff>76200</xdr:rowOff>
    </xdr:to>
    <xdr:sp macro="" textlink="">
      <xdr:nvSpPr>
        <xdr:cNvPr id="10" name="Retângulo Arredondado 9" title="https://1drv.ms/x/c/d81286649687c09d/IQCXUZrkURIJRIXvrdCOI41CAe5qNOdZVBMY4L3GYsrN6Sk?e=BjE2JV&amp;nav=MT">
          <a:extLst>
            <a:ext uri="{FF2B5EF4-FFF2-40B4-BE49-F238E27FC236}">
              <a16:creationId xmlns:a16="http://schemas.microsoft.com/office/drawing/2014/main" id="{7CCD43CE-E8AD-492C-A117-7AD3165149A3}"/>
            </a:ext>
            <a:ext uri="{147F2762-F138-4A5C-976F-8EAC2B608ADB}">
              <a16:predDERef xmlns:a16="http://schemas.microsoft.com/office/drawing/2014/main" pred="{F3F761A8-D29D-4518-A29B-7494C6EB346E}"/>
            </a:ext>
          </a:extLst>
        </xdr:cNvPr>
        <xdr:cNvSpPr/>
      </xdr:nvSpPr>
      <xdr:spPr>
        <a:xfrm>
          <a:off x="352425" y="3743325"/>
          <a:ext cx="1762125" cy="571500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800" b="0" i="0" u="none" strike="noStrike">
              <a:solidFill>
                <a:schemeClr val="lt1"/>
              </a:solidFill>
              <a:latin typeface="Verdana" panose="020B0604030504040204" pitchFamily="34" charset="0"/>
              <a:ea typeface="Verdana" panose="020B0604030504040204" pitchFamily="34" charset="0"/>
            </a:rPr>
            <a:t>INFORMES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57150</xdr:rowOff>
    </xdr:from>
    <xdr:to>
      <xdr:col>0</xdr:col>
      <xdr:colOff>2552700</xdr:colOff>
      <xdr:row>14</xdr:row>
      <xdr:rowOff>152400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644014A-468A-455D-859F-E08806F3ED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38150"/>
          <a:ext cx="2552700" cy="255270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0</xdr:row>
      <xdr:rowOff>9525</xdr:rowOff>
    </xdr:from>
    <xdr:to>
      <xdr:col>0</xdr:col>
      <xdr:colOff>2524125</xdr:colOff>
      <xdr:row>4</xdr:row>
      <xdr:rowOff>114300</xdr:rowOff>
    </xdr:to>
    <xdr:sp macro="" textlink="">
      <xdr:nvSpPr>
        <xdr:cNvPr id="3" name="Retângulo 5">
          <a:extLst>
            <a:ext uri="{FF2B5EF4-FFF2-40B4-BE49-F238E27FC236}">
              <a16:creationId xmlns:a16="http://schemas.microsoft.com/office/drawing/2014/main" id="{A4B7EBAA-B032-4503-B8BB-A91AB5BE2A6A}"/>
            </a:ext>
            <a:ext uri="{147F2762-F138-4A5C-976F-8EAC2B608ADB}">
              <a16:predDERef xmlns:a16="http://schemas.microsoft.com/office/drawing/2014/main" pred="{D644014A-468A-455D-859F-E08806F3ED34}"/>
            </a:ext>
          </a:extLst>
        </xdr:cNvPr>
        <xdr:cNvSpPr/>
      </xdr:nvSpPr>
      <xdr:spPr>
        <a:xfrm>
          <a:off x="9525" y="9525"/>
          <a:ext cx="2514600" cy="866775"/>
        </a:xfrm>
        <a:prstGeom prst="rect">
          <a:avLst/>
        </a:prstGeom>
        <a:solidFill>
          <a:srgbClr val="3D3D3D"/>
        </a:solidFill>
        <a:ln>
          <a:solidFill>
            <a:srgbClr val="3D3D3D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2000" b="1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LION APP</a:t>
          </a:r>
        </a:p>
      </xdr:txBody>
    </xdr:sp>
    <xdr:clientData/>
  </xdr:twoCellAnchor>
  <xdr:twoCellAnchor>
    <xdr:from>
      <xdr:col>0</xdr:col>
      <xdr:colOff>361950</xdr:colOff>
      <xdr:row>15</xdr:row>
      <xdr:rowOff>85725</xdr:rowOff>
    </xdr:from>
    <xdr:to>
      <xdr:col>0</xdr:col>
      <xdr:colOff>2124075</xdr:colOff>
      <xdr:row>18</xdr:row>
      <xdr:rowOff>85725</xdr:rowOff>
    </xdr:to>
    <xdr:sp macro="" textlink="">
      <xdr:nvSpPr>
        <xdr:cNvPr id="4" name="Retângulo Arredondado 6">
          <a:extLst>
            <a:ext uri="{FF2B5EF4-FFF2-40B4-BE49-F238E27FC236}">
              <a16:creationId xmlns:a16="http://schemas.microsoft.com/office/drawing/2014/main" id="{7D3C47EC-87F3-489F-90A2-A27BDE26AE80}"/>
            </a:ext>
            <a:ext uri="{147F2762-F138-4A5C-976F-8EAC2B608ADB}">
              <a16:predDERef xmlns:a16="http://schemas.microsoft.com/office/drawing/2014/main" pred="{A4B7EBAA-B032-4503-B8BB-A91AB5BE2A6A}"/>
            </a:ext>
          </a:extLst>
        </xdr:cNvPr>
        <xdr:cNvSpPr/>
      </xdr:nvSpPr>
      <xdr:spPr>
        <a:xfrm>
          <a:off x="361950" y="2990850"/>
          <a:ext cx="1762125" cy="571500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800" b="0" i="0" u="none" strike="noStrike">
              <a:solidFill>
                <a:schemeClr val="lt1"/>
              </a:solidFill>
              <a:latin typeface="Verdana" panose="020B0604030504040204" pitchFamily="34" charset="0"/>
              <a:ea typeface="Verdana" panose="020B0604030504040204" pitchFamily="34" charset="0"/>
            </a:rPr>
            <a:t>TÍTULAR</a:t>
          </a:r>
        </a:p>
      </xdr:txBody>
    </xdr:sp>
    <xdr:clientData/>
  </xdr:twoCellAnchor>
  <xdr:twoCellAnchor>
    <xdr:from>
      <xdr:col>0</xdr:col>
      <xdr:colOff>352425</xdr:colOff>
      <xdr:row>23</xdr:row>
      <xdr:rowOff>95250</xdr:rowOff>
    </xdr:from>
    <xdr:to>
      <xdr:col>0</xdr:col>
      <xdr:colOff>2114550</xdr:colOff>
      <xdr:row>26</xdr:row>
      <xdr:rowOff>95250</xdr:rowOff>
    </xdr:to>
    <xdr:sp macro="" textlink="">
      <xdr:nvSpPr>
        <xdr:cNvPr id="5" name="Retângulo Arredondado 8">
          <a:extLst>
            <a:ext uri="{FF2B5EF4-FFF2-40B4-BE49-F238E27FC236}">
              <a16:creationId xmlns:a16="http://schemas.microsoft.com/office/drawing/2014/main" id="{6CD1F05C-221B-474D-832A-67CD11BADCD4}"/>
            </a:ext>
            <a:ext uri="{147F2762-F138-4A5C-976F-8EAC2B608ADB}">
              <a16:predDERef xmlns:a16="http://schemas.microsoft.com/office/drawing/2014/main" pred="{7D3C47EC-87F3-489F-90A2-A27BDE26AE80}"/>
            </a:ext>
          </a:extLst>
        </xdr:cNvPr>
        <xdr:cNvSpPr/>
      </xdr:nvSpPr>
      <xdr:spPr>
        <a:xfrm>
          <a:off x="352425" y="4524375"/>
          <a:ext cx="1762125" cy="571500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800" b="0" i="0" u="none" strike="noStrike">
              <a:solidFill>
                <a:schemeClr val="lt1"/>
              </a:solidFill>
              <a:latin typeface="Verdana" panose="020B0604030504040204" pitchFamily="34" charset="0"/>
              <a:ea typeface="Verdana" panose="020B0604030504040204" pitchFamily="34" charset="0"/>
            </a:rPr>
            <a:t>NOTAS</a:t>
          </a:r>
        </a:p>
      </xdr:txBody>
    </xdr:sp>
    <xdr:clientData/>
  </xdr:twoCellAnchor>
  <xdr:twoCellAnchor>
    <xdr:from>
      <xdr:col>0</xdr:col>
      <xdr:colOff>352425</xdr:colOff>
      <xdr:row>19</xdr:row>
      <xdr:rowOff>76200</xdr:rowOff>
    </xdr:from>
    <xdr:to>
      <xdr:col>0</xdr:col>
      <xdr:colOff>2114550</xdr:colOff>
      <xdr:row>22</xdr:row>
      <xdr:rowOff>76200</xdr:rowOff>
    </xdr:to>
    <xdr:sp macro="" textlink="">
      <xdr:nvSpPr>
        <xdr:cNvPr id="6" name="Retângulo Arredondado 9">
          <a:extLst>
            <a:ext uri="{FF2B5EF4-FFF2-40B4-BE49-F238E27FC236}">
              <a16:creationId xmlns:a16="http://schemas.microsoft.com/office/drawing/2014/main" id="{C0343823-11AE-45AB-885B-AECA5927D7BC}"/>
            </a:ext>
            <a:ext uri="{147F2762-F138-4A5C-976F-8EAC2B608ADB}">
              <a16:predDERef xmlns:a16="http://schemas.microsoft.com/office/drawing/2014/main" pred="{6CD1F05C-221B-474D-832A-67CD11BADCD4}"/>
            </a:ext>
          </a:extLst>
        </xdr:cNvPr>
        <xdr:cNvSpPr/>
      </xdr:nvSpPr>
      <xdr:spPr>
        <a:xfrm>
          <a:off x="352425" y="3743325"/>
          <a:ext cx="1762125" cy="571500"/>
        </a:xfrm>
        <a:prstGeom prst="round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800" b="0" i="0" u="none" strike="noStrike">
              <a:solidFill>
                <a:schemeClr val="lt1"/>
              </a:solidFill>
              <a:latin typeface="Verdana" panose="020B0604030504040204" pitchFamily="34" charset="0"/>
              <a:ea typeface="Verdana" panose="020B0604030504040204" pitchFamily="34" charset="0"/>
            </a:rPr>
            <a:t>INFORMES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57150</xdr:rowOff>
    </xdr:from>
    <xdr:to>
      <xdr:col>0</xdr:col>
      <xdr:colOff>2552700</xdr:colOff>
      <xdr:row>15</xdr:row>
      <xdr:rowOff>66675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334886C-936A-4354-9837-76B62AED93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38150"/>
          <a:ext cx="2552700" cy="255270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0</xdr:row>
      <xdr:rowOff>9525</xdr:rowOff>
    </xdr:from>
    <xdr:to>
      <xdr:col>0</xdr:col>
      <xdr:colOff>2524125</xdr:colOff>
      <xdr:row>4</xdr:row>
      <xdr:rowOff>114300</xdr:rowOff>
    </xdr:to>
    <xdr:sp macro="" textlink="">
      <xdr:nvSpPr>
        <xdr:cNvPr id="3" name="Retângulo 5">
          <a:extLst>
            <a:ext uri="{FF2B5EF4-FFF2-40B4-BE49-F238E27FC236}">
              <a16:creationId xmlns:a16="http://schemas.microsoft.com/office/drawing/2014/main" id="{52665084-824D-4CAD-AEFE-6316B9912E31}"/>
            </a:ext>
            <a:ext uri="{147F2762-F138-4A5C-976F-8EAC2B608ADB}">
              <a16:predDERef xmlns:a16="http://schemas.microsoft.com/office/drawing/2014/main" pred="{3334886C-936A-4354-9837-76B62AED9324}"/>
            </a:ext>
          </a:extLst>
        </xdr:cNvPr>
        <xdr:cNvSpPr/>
      </xdr:nvSpPr>
      <xdr:spPr>
        <a:xfrm>
          <a:off x="9525" y="9525"/>
          <a:ext cx="2514600" cy="866775"/>
        </a:xfrm>
        <a:prstGeom prst="rect">
          <a:avLst/>
        </a:prstGeom>
        <a:solidFill>
          <a:srgbClr val="3D3D3D"/>
        </a:solidFill>
        <a:ln>
          <a:solidFill>
            <a:srgbClr val="3D3D3D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2000" b="1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LION APP</a:t>
          </a:r>
        </a:p>
      </xdr:txBody>
    </xdr:sp>
    <xdr:clientData/>
  </xdr:twoCellAnchor>
  <xdr:twoCellAnchor>
    <xdr:from>
      <xdr:col>0</xdr:col>
      <xdr:colOff>361950</xdr:colOff>
      <xdr:row>15</xdr:row>
      <xdr:rowOff>85725</xdr:rowOff>
    </xdr:from>
    <xdr:to>
      <xdr:col>0</xdr:col>
      <xdr:colOff>2124075</xdr:colOff>
      <xdr:row>18</xdr:row>
      <xdr:rowOff>85725</xdr:rowOff>
    </xdr:to>
    <xdr:sp macro="" textlink="">
      <xdr:nvSpPr>
        <xdr:cNvPr id="4" name="Retângulo Arredondado 6">
          <a:extLst>
            <a:ext uri="{FF2B5EF4-FFF2-40B4-BE49-F238E27FC236}">
              <a16:creationId xmlns:a16="http://schemas.microsoft.com/office/drawing/2014/main" id="{68D9A7EB-1286-4A0A-A9E5-39C49180E07A}"/>
            </a:ext>
            <a:ext uri="{147F2762-F138-4A5C-976F-8EAC2B608ADB}">
              <a16:predDERef xmlns:a16="http://schemas.microsoft.com/office/drawing/2014/main" pred="{52665084-824D-4CAD-AEFE-6316B9912E31}"/>
            </a:ext>
          </a:extLst>
        </xdr:cNvPr>
        <xdr:cNvSpPr/>
      </xdr:nvSpPr>
      <xdr:spPr>
        <a:xfrm>
          <a:off x="361950" y="2990850"/>
          <a:ext cx="1762125" cy="571500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800" b="0" i="0" u="none" strike="noStrike">
              <a:solidFill>
                <a:schemeClr val="lt1"/>
              </a:solidFill>
              <a:latin typeface="Verdana" panose="020B0604030504040204" pitchFamily="34" charset="0"/>
              <a:ea typeface="Verdana" panose="020B0604030504040204" pitchFamily="34" charset="0"/>
            </a:rPr>
            <a:t>TÍTULAR</a:t>
          </a:r>
        </a:p>
      </xdr:txBody>
    </xdr:sp>
    <xdr:clientData/>
  </xdr:twoCellAnchor>
  <xdr:twoCellAnchor>
    <xdr:from>
      <xdr:col>0</xdr:col>
      <xdr:colOff>352425</xdr:colOff>
      <xdr:row>23</xdr:row>
      <xdr:rowOff>95250</xdr:rowOff>
    </xdr:from>
    <xdr:to>
      <xdr:col>0</xdr:col>
      <xdr:colOff>2114550</xdr:colOff>
      <xdr:row>26</xdr:row>
      <xdr:rowOff>95250</xdr:rowOff>
    </xdr:to>
    <xdr:sp macro="" textlink="">
      <xdr:nvSpPr>
        <xdr:cNvPr id="5" name="Retângulo Arredondado 8">
          <a:extLst>
            <a:ext uri="{FF2B5EF4-FFF2-40B4-BE49-F238E27FC236}">
              <a16:creationId xmlns:a16="http://schemas.microsoft.com/office/drawing/2014/main" id="{5227B266-BADE-4BEA-BE43-EE944934F117}"/>
            </a:ext>
            <a:ext uri="{147F2762-F138-4A5C-976F-8EAC2B608ADB}">
              <a16:predDERef xmlns:a16="http://schemas.microsoft.com/office/drawing/2014/main" pred="{68D9A7EB-1286-4A0A-A9E5-39C49180E07A}"/>
            </a:ext>
          </a:extLst>
        </xdr:cNvPr>
        <xdr:cNvSpPr/>
      </xdr:nvSpPr>
      <xdr:spPr>
        <a:xfrm>
          <a:off x="352425" y="4524375"/>
          <a:ext cx="1762125" cy="571500"/>
        </a:xfrm>
        <a:prstGeom prst="round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800" b="0" i="0" u="none" strike="noStrike">
              <a:solidFill>
                <a:schemeClr val="lt1"/>
              </a:solidFill>
              <a:latin typeface="Verdana" panose="020B0604030504040204" pitchFamily="34" charset="0"/>
              <a:ea typeface="Verdana" panose="020B0604030504040204" pitchFamily="34" charset="0"/>
            </a:rPr>
            <a:t>NOTAS</a:t>
          </a:r>
        </a:p>
      </xdr:txBody>
    </xdr:sp>
    <xdr:clientData/>
  </xdr:twoCellAnchor>
  <xdr:twoCellAnchor>
    <xdr:from>
      <xdr:col>0</xdr:col>
      <xdr:colOff>352425</xdr:colOff>
      <xdr:row>19</xdr:row>
      <xdr:rowOff>76200</xdr:rowOff>
    </xdr:from>
    <xdr:to>
      <xdr:col>0</xdr:col>
      <xdr:colOff>2114550</xdr:colOff>
      <xdr:row>22</xdr:row>
      <xdr:rowOff>76200</xdr:rowOff>
    </xdr:to>
    <xdr:sp macro="" textlink="">
      <xdr:nvSpPr>
        <xdr:cNvPr id="6" name="Retângulo Arredondado 9">
          <a:extLst>
            <a:ext uri="{FF2B5EF4-FFF2-40B4-BE49-F238E27FC236}">
              <a16:creationId xmlns:a16="http://schemas.microsoft.com/office/drawing/2014/main" id="{98B4444D-5D24-45DF-8737-A26F1AD65597}"/>
            </a:ext>
            <a:ext uri="{147F2762-F138-4A5C-976F-8EAC2B608ADB}">
              <a16:predDERef xmlns:a16="http://schemas.microsoft.com/office/drawing/2014/main" pred="{5227B266-BADE-4BEA-BE43-EE944934F117}"/>
            </a:ext>
          </a:extLst>
        </xdr:cNvPr>
        <xdr:cNvSpPr/>
      </xdr:nvSpPr>
      <xdr:spPr>
        <a:xfrm>
          <a:off x="352425" y="3743325"/>
          <a:ext cx="1762125" cy="571500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800" b="0" i="0" u="none" strike="noStrike">
              <a:solidFill>
                <a:schemeClr val="lt1"/>
              </a:solidFill>
              <a:latin typeface="Verdana" panose="020B0604030504040204" pitchFamily="34" charset="0"/>
              <a:ea typeface="Verdana" panose="020B0604030504040204" pitchFamily="34" charset="0"/>
            </a:rPr>
            <a:t>INFORMES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083E4B-200C-4473-9222-0C5FCE88AA30}" name="Tabela1" displayName="Tabela1" ref="C8:E16" totalsRowShown="0" headerRowDxfId="4" dataDxfId="3">
  <autoFilter ref="C8:E16" xr:uid="{33083E4B-200C-4473-9222-0C5FCE88AA30}"/>
  <tableColumns count="3">
    <tableColumn id="1" xr3:uid="{4A21AB89-A11F-4B63-87C5-53D98E422387}" name="DATA" dataDxfId="2"/>
    <tableColumn id="2" xr3:uid="{E11B0B4D-3E2F-40E2-96EA-D3B9C3AC9EBB}" name="CATEGORIA" dataDxfId="1"/>
    <tableColumn id="3" xr3:uid="{CCC93596-0E6B-48D4-920A-7E93BAC859B9}" name="VALO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mailto:grace.ryland@g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3DCA0-671F-4B03-BE32-C804EC8ECC3F}">
  <dimension ref="A4:D39"/>
  <sheetViews>
    <sheetView showGridLines="0" workbookViewId="0">
      <selection activeCell="F47" sqref="F47"/>
    </sheetView>
  </sheetViews>
  <sheetFormatPr defaultColWidth="0" defaultRowHeight="15"/>
  <cols>
    <col min="1" max="1" width="9.140625" customWidth="1"/>
    <col min="2" max="2" width="25.7109375" customWidth="1"/>
    <col min="3" max="3" width="30.140625" customWidth="1"/>
    <col min="4" max="4" width="13.85546875" customWidth="1"/>
    <col min="5" max="5" width="7.28515625" customWidth="1"/>
    <col min="6" max="6" width="5.42578125" customWidth="1"/>
    <col min="7" max="7" width="6.7109375" customWidth="1"/>
  </cols>
  <sheetData>
    <row r="4" spans="2:4" ht="21">
      <c r="B4" s="51" t="s">
        <v>0</v>
      </c>
      <c r="C4" s="52"/>
      <c r="D4" s="53"/>
    </row>
    <row r="5" spans="2:4">
      <c r="B5" s="54" t="s">
        <v>1</v>
      </c>
      <c r="C5" s="55"/>
      <c r="D5" s="3">
        <v>1200</v>
      </c>
    </row>
    <row r="6" spans="2:4">
      <c r="B6" s="56" t="s">
        <v>2</v>
      </c>
      <c r="C6" s="57"/>
      <c r="D6" s="4">
        <v>0.01</v>
      </c>
    </row>
    <row r="7" spans="2:4">
      <c r="B7" s="58" t="s">
        <v>3</v>
      </c>
      <c r="C7" s="59"/>
      <c r="D7" s="5">
        <f>D5*30%</f>
        <v>360</v>
      </c>
    </row>
    <row r="11" spans="2:4" ht="26.25" customHeight="1">
      <c r="B11" s="62" t="s">
        <v>4</v>
      </c>
      <c r="C11" s="63"/>
      <c r="D11" s="70"/>
    </row>
    <row r="12" spans="2:4">
      <c r="B12" s="54" t="s">
        <v>5</v>
      </c>
      <c r="C12" s="64"/>
      <c r="D12" s="9">
        <f>D7</f>
        <v>360</v>
      </c>
    </row>
    <row r="13" spans="2:4">
      <c r="B13" s="56" t="s">
        <v>6</v>
      </c>
      <c r="C13" s="65"/>
      <c r="D13" s="6">
        <v>20</v>
      </c>
    </row>
    <row r="14" spans="2:4">
      <c r="B14" s="56" t="s">
        <v>7</v>
      </c>
      <c r="C14" s="65"/>
      <c r="D14" s="7">
        <v>1.2E-2</v>
      </c>
    </row>
    <row r="15" spans="2:4">
      <c r="B15" s="66" t="s">
        <v>8</v>
      </c>
      <c r="C15" s="67"/>
      <c r="D15" s="12">
        <f>FV(D14,D13*12,-1*D12)</f>
        <v>495344.57956809964</v>
      </c>
    </row>
    <row r="16" spans="2:4">
      <c r="B16" s="68" t="s">
        <v>9</v>
      </c>
      <c r="C16" s="69"/>
      <c r="D16" s="13">
        <f>D15*D6</f>
        <v>4953.4457956809965</v>
      </c>
    </row>
    <row r="18" spans="1:4" ht="26.25">
      <c r="B18" s="62" t="s">
        <v>10</v>
      </c>
      <c r="C18" s="63"/>
      <c r="D18" s="8" t="s">
        <v>11</v>
      </c>
    </row>
    <row r="19" spans="1:4">
      <c r="A19" s="2">
        <v>2</v>
      </c>
      <c r="B19" s="14" t="s">
        <v>12</v>
      </c>
      <c r="C19" s="15">
        <f>FV($D$14,$A19*12,$D$12*-1)</f>
        <v>9944.1841115241368</v>
      </c>
      <c r="D19" s="16" cm="1">
        <f t="array" ref="D19">C19*rendimento_carteira</f>
        <v>99.441841115241374</v>
      </c>
    </row>
    <row r="20" spans="1:4">
      <c r="A20" s="2">
        <v>5</v>
      </c>
      <c r="B20" s="17" t="s">
        <v>13</v>
      </c>
      <c r="C20" s="18">
        <f>FV($D$14,$A20*12,$D$12*-1)</f>
        <v>31369.418041947247</v>
      </c>
      <c r="D20" s="12" cm="1">
        <f t="array" ref="D20">C20*rendimento_carteira</f>
        <v>313.6941804194725</v>
      </c>
    </row>
    <row r="21" spans="1:4">
      <c r="A21" s="2">
        <v>9</v>
      </c>
      <c r="B21" s="17" t="s">
        <v>14</v>
      </c>
      <c r="C21" s="18">
        <f>FV($D$14,$A21*12,$D$12*-1)</f>
        <v>78796.921078625193</v>
      </c>
      <c r="D21" s="12" cm="1">
        <f t="array" ref="D21">C21*rendimento_carteira</f>
        <v>787.96921078625201</v>
      </c>
    </row>
    <row r="22" spans="1:4">
      <c r="A22" s="2">
        <v>10</v>
      </c>
      <c r="B22" s="17" t="s">
        <v>15</v>
      </c>
      <c r="C22" s="18">
        <f>FV($D$14,$A22*12,$D$12*-1)</f>
        <v>95540.182360242659</v>
      </c>
      <c r="D22" s="12" cm="1">
        <f t="array" ref="D22">C22*rendimento_carteira</f>
        <v>955.40182360242659</v>
      </c>
    </row>
    <row r="23" spans="1:4">
      <c r="A23" s="2">
        <v>15</v>
      </c>
      <c r="B23" s="17" t="s">
        <v>16</v>
      </c>
      <c r="C23" s="18">
        <f>FV($D$14,$A23*12,$D$12*-1)</f>
        <v>226810.93107760084</v>
      </c>
      <c r="D23" s="12" cm="1">
        <f t="array" ref="D23">C23*rendimento_carteira</f>
        <v>2268.1093107760084</v>
      </c>
    </row>
    <row r="24" spans="1:4">
      <c r="A24" s="2">
        <v>20</v>
      </c>
      <c r="B24" s="17" t="s">
        <v>17</v>
      </c>
      <c r="C24" s="18">
        <f>FV($D$14,$A24*12,$D$12*-1)</f>
        <v>495344.57956809964</v>
      </c>
      <c r="D24" s="12" cm="1">
        <f t="array" ref="D24">C24*rendimento_carteira</f>
        <v>4953.4457956809965</v>
      </c>
    </row>
    <row r="25" spans="1:4">
      <c r="A25" s="2">
        <v>30</v>
      </c>
      <c r="B25" s="19" t="s">
        <v>18</v>
      </c>
      <c r="C25" s="20">
        <f>FV($D$14,$A25*12,$D$12*-1)</f>
        <v>2168395.1440314753</v>
      </c>
      <c r="D25" s="13" cm="1">
        <f t="array" ref="D25">C25*rendimento_carteira</f>
        <v>21683.951440314755</v>
      </c>
    </row>
    <row r="28" spans="1:4">
      <c r="B28" s="61" t="s">
        <v>19</v>
      </c>
      <c r="C28" s="61"/>
      <c r="D28" s="10" t="s">
        <v>20</v>
      </c>
    </row>
    <row r="29" spans="1:4" ht="15.75" customHeight="1">
      <c r="B29" s="60" t="s">
        <v>21</v>
      </c>
      <c r="C29" s="60"/>
      <c r="D29" s="11">
        <f>D7</f>
        <v>360</v>
      </c>
    </row>
    <row r="32" spans="1:4" ht="14.25" customHeight="1">
      <c r="B32" s="23" t="s">
        <v>22</v>
      </c>
      <c r="C32" s="24" t="s">
        <v>23</v>
      </c>
      <c r="D32" s="23" t="s">
        <v>24</v>
      </c>
    </row>
    <row r="33" spans="2:4" ht="15" customHeight="1">
      <c r="B33" s="1" t="s">
        <v>25</v>
      </c>
      <c r="C33" s="21">
        <f>VLOOKUP($D$28&amp;"-"&amp;B33,Apoio!A3:D21,4,FALSE)</f>
        <v>0.5</v>
      </c>
      <c r="D33" s="29">
        <f>$D$29*C33</f>
        <v>180</v>
      </c>
    </row>
    <row r="34" spans="2:4">
      <c r="B34" s="1" t="s">
        <v>26</v>
      </c>
      <c r="C34" s="21">
        <f>VLOOKUP($D$28&amp;"-"&amp;B34,Apoio!A4:D22,4,FALSE)</f>
        <v>0.1</v>
      </c>
      <c r="D34" s="29">
        <f t="shared" ref="D34:D38" si="0">$D$29*C34</f>
        <v>36</v>
      </c>
    </row>
    <row r="35" spans="2:4">
      <c r="B35" s="1" t="s">
        <v>27</v>
      </c>
      <c r="C35" s="21">
        <f>VLOOKUP($D$28&amp;"-"&amp;B35,Apoio!A5:D23,4,FALSE)</f>
        <v>0.05</v>
      </c>
      <c r="D35" s="29">
        <f t="shared" si="0"/>
        <v>18</v>
      </c>
    </row>
    <row r="36" spans="2:4">
      <c r="B36" s="1" t="s">
        <v>28</v>
      </c>
      <c r="C36" s="21">
        <f>VLOOKUP($D$28&amp;"-"&amp;B36,Apoio!A6:D24,4,FALSE)</f>
        <v>0.05</v>
      </c>
      <c r="D36" s="29">
        <f t="shared" si="0"/>
        <v>18</v>
      </c>
    </row>
    <row r="37" spans="2:4">
      <c r="B37" s="1" t="s">
        <v>29</v>
      </c>
      <c r="C37" s="21">
        <f>VLOOKUP($D$28&amp;"-"&amp;B37,Apoio!A7:D25,4,FALSE)</f>
        <v>0.2</v>
      </c>
      <c r="D37" s="29">
        <f t="shared" si="0"/>
        <v>72</v>
      </c>
    </row>
    <row r="38" spans="2:4">
      <c r="B38" s="1" t="s">
        <v>30</v>
      </c>
      <c r="C38" s="21">
        <f>VLOOKUP($D$28&amp;"-"&amp;B38,Apoio!A8:D26,4,FALSE)</f>
        <v>0.1</v>
      </c>
      <c r="D38" s="29">
        <f t="shared" si="0"/>
        <v>36</v>
      </c>
    </row>
    <row r="39" spans="2:4">
      <c r="B39" s="22"/>
      <c r="C39" s="22"/>
      <c r="D39" s="25">
        <f>SUM(D33:D38)</f>
        <v>360</v>
      </c>
    </row>
  </sheetData>
  <mergeCells count="13">
    <mergeCell ref="B4:D4"/>
    <mergeCell ref="B5:C5"/>
    <mergeCell ref="B6:C6"/>
    <mergeCell ref="B7:C7"/>
    <mergeCell ref="B29:C29"/>
    <mergeCell ref="B28:C28"/>
    <mergeCell ref="B18:C18"/>
    <mergeCell ref="B12:C12"/>
    <mergeCell ref="B13:C13"/>
    <mergeCell ref="B14:C14"/>
    <mergeCell ref="B15:C15"/>
    <mergeCell ref="B16:C16"/>
    <mergeCell ref="B11:D11"/>
  </mergeCells>
  <dataValidations count="1">
    <dataValidation type="list" allowBlank="1" showInputMessage="1" showErrorMessage="1" sqref="D28" xr:uid="{CC4C62F3-1EF3-47A8-AB39-E38562BBD9CD}">
      <formula1>"Agressivo, Moderado, Conservador"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36612-1FAC-4B4E-B854-4B7C4FBF6246}">
  <dimension ref="A3:D21"/>
  <sheetViews>
    <sheetView workbookViewId="0">
      <selection activeCell="H6" sqref="H6"/>
    </sheetView>
  </sheetViews>
  <sheetFormatPr defaultRowHeight="15"/>
  <cols>
    <col min="1" max="1" width="30.140625" bestFit="1" customWidth="1"/>
    <col min="2" max="2" width="11.85546875" bestFit="1" customWidth="1"/>
    <col min="3" max="3" width="18.42578125" bestFit="1" customWidth="1"/>
    <col min="4" max="4" width="17.85546875" bestFit="1" customWidth="1"/>
  </cols>
  <sheetData>
    <row r="3" spans="1:4">
      <c r="A3" t="s">
        <v>31</v>
      </c>
      <c r="B3" t="s">
        <v>19</v>
      </c>
      <c r="C3" t="s">
        <v>22</v>
      </c>
      <c r="D3" t="s">
        <v>32</v>
      </c>
    </row>
    <row r="4" spans="1:4">
      <c r="A4" t="str">
        <f>B4&amp;"-"&amp;C4</f>
        <v>Conservador-PAPEL</v>
      </c>
      <c r="B4" t="s">
        <v>33</v>
      </c>
      <c r="C4" s="1" t="s">
        <v>25</v>
      </c>
      <c r="D4" s="21">
        <v>0.3</v>
      </c>
    </row>
    <row r="5" spans="1:4">
      <c r="A5" t="str">
        <f t="shared" ref="A5:A21" si="0">B5&amp;"-"&amp;C5</f>
        <v>Conservador-TIJOLO</v>
      </c>
      <c r="B5" t="s">
        <v>33</v>
      </c>
      <c r="C5" s="1" t="s">
        <v>26</v>
      </c>
      <c r="D5" s="21">
        <v>0.5</v>
      </c>
    </row>
    <row r="6" spans="1:4">
      <c r="A6" t="str">
        <f t="shared" si="0"/>
        <v>Conservador-HÍBRIDO</v>
      </c>
      <c r="B6" t="s">
        <v>33</v>
      </c>
      <c r="C6" s="1" t="s">
        <v>27</v>
      </c>
      <c r="D6" s="21">
        <v>0.1</v>
      </c>
    </row>
    <row r="7" spans="1:4">
      <c r="A7" t="str">
        <f t="shared" si="0"/>
        <v>Conservador-FOFs</v>
      </c>
      <c r="B7" t="s">
        <v>33</v>
      </c>
      <c r="C7" s="1" t="s">
        <v>28</v>
      </c>
      <c r="D7" s="21">
        <v>0.1</v>
      </c>
    </row>
    <row r="8" spans="1:4">
      <c r="A8" t="str">
        <f t="shared" si="0"/>
        <v>Conservador-DESENVOLVIMENTO</v>
      </c>
      <c r="B8" t="s">
        <v>33</v>
      </c>
      <c r="C8" s="1" t="s">
        <v>29</v>
      </c>
      <c r="D8" s="21">
        <v>0</v>
      </c>
    </row>
    <row r="9" spans="1:4">
      <c r="A9" s="26" t="str">
        <f t="shared" si="0"/>
        <v>Conservador-HOTELARIAS</v>
      </c>
      <c r="B9" s="26" t="s">
        <v>33</v>
      </c>
      <c r="C9" s="27" t="s">
        <v>30</v>
      </c>
      <c r="D9" s="28">
        <v>0</v>
      </c>
    </row>
    <row r="10" spans="1:4">
      <c r="A10" t="str">
        <f t="shared" si="0"/>
        <v>Moderado-PAPEL</v>
      </c>
      <c r="B10" t="s">
        <v>34</v>
      </c>
      <c r="C10" s="1" t="s">
        <v>25</v>
      </c>
      <c r="D10" s="21">
        <v>0.32</v>
      </c>
    </row>
    <row r="11" spans="1:4">
      <c r="A11" t="str">
        <f t="shared" si="0"/>
        <v>Moderado-TIJOLO</v>
      </c>
      <c r="B11" t="s">
        <v>34</v>
      </c>
      <c r="C11" s="1" t="s">
        <v>26</v>
      </c>
      <c r="D11" s="21">
        <v>0.4</v>
      </c>
    </row>
    <row r="12" spans="1:4">
      <c r="A12" t="str">
        <f t="shared" si="0"/>
        <v>Moderado-HÍBRIDO</v>
      </c>
      <c r="B12" t="s">
        <v>34</v>
      </c>
      <c r="C12" s="1" t="s">
        <v>27</v>
      </c>
      <c r="D12" s="21">
        <v>0.08</v>
      </c>
    </row>
    <row r="13" spans="1:4">
      <c r="A13" t="str">
        <f t="shared" si="0"/>
        <v>Moderado-FOFs</v>
      </c>
      <c r="B13" t="s">
        <v>34</v>
      </c>
      <c r="C13" s="1" t="s">
        <v>28</v>
      </c>
      <c r="D13" s="21">
        <v>0.1</v>
      </c>
    </row>
    <row r="14" spans="1:4">
      <c r="A14" t="str">
        <f t="shared" si="0"/>
        <v>Moderado-DESENVOLVIMENTO</v>
      </c>
      <c r="B14" t="s">
        <v>34</v>
      </c>
      <c r="C14" s="1" t="s">
        <v>29</v>
      </c>
      <c r="D14" s="21">
        <v>0.1</v>
      </c>
    </row>
    <row r="15" spans="1:4">
      <c r="A15" s="26" t="str">
        <f t="shared" si="0"/>
        <v>Moderado-HOTELARIAS</v>
      </c>
      <c r="B15" s="26" t="s">
        <v>34</v>
      </c>
      <c r="C15" s="27" t="s">
        <v>30</v>
      </c>
      <c r="D15" s="28">
        <v>0.1</v>
      </c>
    </row>
    <row r="16" spans="1:4">
      <c r="A16" t="str">
        <f t="shared" si="0"/>
        <v>Agressivo-PAPEL</v>
      </c>
      <c r="B16" t="s">
        <v>20</v>
      </c>
      <c r="C16" s="1" t="s">
        <v>25</v>
      </c>
      <c r="D16" s="21">
        <v>0.5</v>
      </c>
    </row>
    <row r="17" spans="1:4">
      <c r="A17" t="str">
        <f t="shared" si="0"/>
        <v>Agressivo-TIJOLO</v>
      </c>
      <c r="B17" t="s">
        <v>20</v>
      </c>
      <c r="C17" s="1" t="s">
        <v>26</v>
      </c>
      <c r="D17" s="21">
        <v>0.1</v>
      </c>
    </row>
    <row r="18" spans="1:4">
      <c r="A18" t="str">
        <f t="shared" si="0"/>
        <v>Agressivo-HÍBRIDO</v>
      </c>
      <c r="B18" t="s">
        <v>20</v>
      </c>
      <c r="C18" s="1" t="s">
        <v>27</v>
      </c>
      <c r="D18" s="21">
        <v>0.05</v>
      </c>
    </row>
    <row r="19" spans="1:4">
      <c r="A19" t="str">
        <f t="shared" si="0"/>
        <v>Agressivo-FOFs</v>
      </c>
      <c r="B19" t="s">
        <v>20</v>
      </c>
      <c r="C19" s="1" t="s">
        <v>28</v>
      </c>
      <c r="D19" s="21">
        <v>0.05</v>
      </c>
    </row>
    <row r="20" spans="1:4">
      <c r="A20" t="str">
        <f t="shared" si="0"/>
        <v>Agressivo-DESENVOLVIMENTO</v>
      </c>
      <c r="B20" t="s">
        <v>20</v>
      </c>
      <c r="C20" s="1" t="s">
        <v>29</v>
      </c>
      <c r="D20" s="21">
        <v>0.2</v>
      </c>
    </row>
    <row r="21" spans="1:4">
      <c r="A21" t="str">
        <f t="shared" si="0"/>
        <v>Agressivo-HOTELARIAS</v>
      </c>
      <c r="B21" t="s">
        <v>20</v>
      </c>
      <c r="C21" s="1" t="s">
        <v>30</v>
      </c>
      <c r="D21" s="21">
        <v>0.1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182D8-C91C-42A3-94D8-131654355B90}">
  <dimension ref="A3:D20"/>
  <sheetViews>
    <sheetView showGridLines="0" showRowColHeaders="0" tabSelected="1" workbookViewId="0">
      <selection activeCell="D7" sqref="D7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/>
  <cols>
    <col min="1" max="1" width="38.5703125" style="30" customWidth="1"/>
    <col min="3" max="3" width="50.5703125" bestFit="1" customWidth="1"/>
    <col min="4" max="4" width="50" customWidth="1"/>
  </cols>
  <sheetData>
    <row r="3" spans="3:4" ht="19.5">
      <c r="C3" s="36" t="s">
        <v>35</v>
      </c>
      <c r="D3" s="34"/>
    </row>
    <row r="4" spans="3:4">
      <c r="C4" s="46" t="s">
        <v>36</v>
      </c>
    </row>
    <row r="6" spans="3:4">
      <c r="C6" s="33"/>
      <c r="D6" s="33"/>
    </row>
    <row r="7" spans="3:4">
      <c r="C7" s="47" t="s">
        <v>37</v>
      </c>
      <c r="D7" s="31" t="s">
        <v>38</v>
      </c>
    </row>
    <row r="8" spans="3:4">
      <c r="C8" s="44" t="s">
        <v>39</v>
      </c>
      <c r="D8" s="37" t="s">
        <v>40</v>
      </c>
    </row>
    <row r="9" spans="3:4">
      <c r="C9" s="44" t="s">
        <v>41</v>
      </c>
      <c r="D9" s="38">
        <v>23330</v>
      </c>
    </row>
    <row r="10" spans="3:4">
      <c r="C10" s="44" t="s">
        <v>42</v>
      </c>
      <c r="D10" s="32" t="s">
        <v>43</v>
      </c>
    </row>
    <row r="11" spans="3:4">
      <c r="C11" s="44" t="s">
        <v>44</v>
      </c>
      <c r="D11" s="32" t="s">
        <v>45</v>
      </c>
    </row>
    <row r="12" spans="3:4">
      <c r="C12" s="44" t="s">
        <v>46</v>
      </c>
      <c r="D12" s="32" t="s">
        <v>47</v>
      </c>
    </row>
    <row r="13" spans="3:4">
      <c r="C13" s="44" t="s">
        <v>48</v>
      </c>
      <c r="D13" s="32" t="s">
        <v>47</v>
      </c>
    </row>
    <row r="14" spans="3:4">
      <c r="C14" s="44" t="s">
        <v>49</v>
      </c>
      <c r="D14" s="32" t="s">
        <v>50</v>
      </c>
    </row>
    <row r="15" spans="3:4">
      <c r="C15" s="44" t="s">
        <v>51</v>
      </c>
      <c r="D15" s="32" t="s">
        <v>52</v>
      </c>
    </row>
    <row r="16" spans="3:4">
      <c r="C16" s="44" t="s">
        <v>53</v>
      </c>
      <c r="D16" s="32" t="s">
        <v>54</v>
      </c>
    </row>
    <row r="17" spans="3:4">
      <c r="C17" s="44" t="s">
        <v>55</v>
      </c>
      <c r="D17" s="39" t="s">
        <v>56</v>
      </c>
    </row>
    <row r="18" spans="3:4" ht="16.5" customHeight="1">
      <c r="C18" s="44" t="s">
        <v>57</v>
      </c>
      <c r="D18" s="32" t="s">
        <v>58</v>
      </c>
    </row>
    <row r="19" spans="3:4">
      <c r="C19" s="44" t="s">
        <v>59</v>
      </c>
      <c r="D19" s="32" t="s">
        <v>58</v>
      </c>
    </row>
    <row r="20" spans="3:4">
      <c r="C20" s="44" t="s">
        <v>60</v>
      </c>
      <c r="D20" s="32" t="s">
        <v>61</v>
      </c>
    </row>
  </sheetData>
  <dataValidations count="1">
    <dataValidation type="list" allowBlank="1" showInputMessage="1" showErrorMessage="1" sqref="D18:D20" xr:uid="{71167EDB-261A-4F5C-B5A6-06F581965BD3}">
      <formula1>"SIM,NÃO"</formula1>
    </dataValidation>
  </dataValidations>
  <hyperlinks>
    <hyperlink ref="D17" r:id="rId1" xr:uid="{8E3453FA-0D3C-47D8-8F58-8B72E72917E9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05751-1017-43F4-8EA7-E8FB6D271069}">
  <dimension ref="A3:D24"/>
  <sheetViews>
    <sheetView showGridLines="0" workbookViewId="0">
      <selection activeCell="G12" sqref="G12"/>
    </sheetView>
  </sheetViews>
  <sheetFormatPr defaultRowHeight="15"/>
  <cols>
    <col min="1" max="1" width="38.5703125" style="30" customWidth="1"/>
    <col min="3" max="4" width="50" customWidth="1"/>
  </cols>
  <sheetData>
    <row r="3" spans="3:4" ht="24.75" customHeight="1">
      <c r="C3" s="71" t="s">
        <v>62</v>
      </c>
      <c r="D3" s="71"/>
    </row>
    <row r="4" spans="3:4">
      <c r="C4" s="35" t="s">
        <v>36</v>
      </c>
    </row>
    <row r="6" spans="3:4">
      <c r="C6" s="45" t="s">
        <v>63</v>
      </c>
    </row>
    <row r="7" spans="3:4">
      <c r="C7" s="72">
        <f>SUM(D11,D17,D23)</f>
        <v>14575298</v>
      </c>
      <c r="D7" s="61"/>
    </row>
    <row r="8" spans="3:4" ht="18.75" customHeight="1"/>
    <row r="9" spans="3:4">
      <c r="C9" s="43" t="s">
        <v>64</v>
      </c>
    </row>
    <row r="10" spans="3:4">
      <c r="C10" s="44" t="s">
        <v>65</v>
      </c>
      <c r="D10" s="32" t="s">
        <v>66</v>
      </c>
    </row>
    <row r="11" spans="3:4">
      <c r="C11" s="44" t="s">
        <v>67</v>
      </c>
      <c r="D11" s="42">
        <v>3005200</v>
      </c>
    </row>
    <row r="12" spans="3:4">
      <c r="C12" s="44" t="s">
        <v>68</v>
      </c>
      <c r="D12" s="38" t="s">
        <v>69</v>
      </c>
    </row>
    <row r="13" spans="3:4">
      <c r="C13" s="45"/>
    </row>
    <row r="14" spans="3:4">
      <c r="C14" s="45"/>
    </row>
    <row r="15" spans="3:4">
      <c r="C15" s="43" t="s">
        <v>70</v>
      </c>
    </row>
    <row r="16" spans="3:4">
      <c r="C16" s="44" t="s">
        <v>65</v>
      </c>
      <c r="D16" s="32" t="s">
        <v>71</v>
      </c>
    </row>
    <row r="17" spans="3:4">
      <c r="C17" s="44" t="s">
        <v>67</v>
      </c>
      <c r="D17" s="42">
        <v>10000</v>
      </c>
    </row>
    <row r="18" spans="3:4">
      <c r="C18" s="44" t="s">
        <v>68</v>
      </c>
      <c r="D18" s="38" t="s">
        <v>72</v>
      </c>
    </row>
    <row r="19" spans="3:4">
      <c r="C19" s="45"/>
    </row>
    <row r="20" spans="3:4">
      <c r="C20" s="45"/>
    </row>
    <row r="21" spans="3:4">
      <c r="C21" s="43" t="s">
        <v>73</v>
      </c>
    </row>
    <row r="22" spans="3:4">
      <c r="C22" s="44" t="s">
        <v>65</v>
      </c>
      <c r="D22" s="32" t="s">
        <v>74</v>
      </c>
    </row>
    <row r="23" spans="3:4">
      <c r="C23" s="44" t="s">
        <v>67</v>
      </c>
      <c r="D23" s="42">
        <v>11560098</v>
      </c>
    </row>
    <row r="24" spans="3:4">
      <c r="C24" s="44" t="s">
        <v>68</v>
      </c>
      <c r="D24" s="38" t="s">
        <v>75</v>
      </c>
    </row>
  </sheetData>
  <mergeCells count="2">
    <mergeCell ref="C3:D3"/>
    <mergeCell ref="C7:D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warning" allowBlank="1" showInputMessage="1" showErrorMessage="1" errorTitle="Alerta" error="Esse banco não está cadastrado." promptTitle="Informe um banco" prompt="Informe um banco vínculado ao seu CPF." xr:uid="{1B5779AE-A8B8-4D18-AD15-E31710B7E5A9}">
          <x14:formula1>
            <xm:f>TABELAS!$A$2:$A$51</xm:f>
          </x14:formula1>
          <xm:sqref>D10 D16 D22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BBFA3-2439-4FE5-9EE4-1A57D2A9C2FD}">
  <dimension ref="A3:E18"/>
  <sheetViews>
    <sheetView showGridLines="0" showRowColHeaders="0" workbookViewId="0">
      <selection activeCell="D19" sqref="D19"/>
    </sheetView>
  </sheetViews>
  <sheetFormatPr defaultRowHeight="15"/>
  <cols>
    <col min="1" max="1" width="38.5703125" style="30" customWidth="1"/>
    <col min="3" max="5" width="27.7109375" customWidth="1"/>
  </cols>
  <sheetData>
    <row r="3" spans="3:5" ht="19.5" customHeight="1">
      <c r="C3" s="75" t="s">
        <v>76</v>
      </c>
      <c r="D3" s="75"/>
      <c r="E3" s="75"/>
    </row>
    <row r="4" spans="3:5" ht="15" customHeight="1">
      <c r="C4" s="76" t="s">
        <v>77</v>
      </c>
      <c r="D4" s="76"/>
      <c r="E4" s="76"/>
    </row>
    <row r="7" spans="3:5">
      <c r="C7" s="73" t="s">
        <v>78</v>
      </c>
      <c r="D7" s="74"/>
      <c r="E7" s="74"/>
    </row>
    <row r="8" spans="3:5" ht="15.75" customHeight="1">
      <c r="C8" s="48" t="s">
        <v>79</v>
      </c>
      <c r="D8" s="48" t="s">
        <v>80</v>
      </c>
      <c r="E8" s="48" t="s">
        <v>81</v>
      </c>
    </row>
    <row r="9" spans="3:5">
      <c r="C9" s="49">
        <v>46030</v>
      </c>
      <c r="D9" s="1" t="s">
        <v>82</v>
      </c>
      <c r="E9" s="50">
        <v>50000</v>
      </c>
    </row>
    <row r="10" spans="3:5">
      <c r="C10" s="49">
        <v>46050</v>
      </c>
      <c r="D10" s="1" t="s">
        <v>83</v>
      </c>
      <c r="E10" s="50">
        <v>85</v>
      </c>
    </row>
    <row r="11" spans="3:5">
      <c r="C11" s="49">
        <v>46051</v>
      </c>
      <c r="D11" s="1" t="s">
        <v>84</v>
      </c>
      <c r="E11" s="50">
        <v>899.99</v>
      </c>
    </row>
    <row r="12" spans="3:5">
      <c r="C12" s="49">
        <v>46052</v>
      </c>
      <c r="D12" s="1" t="s">
        <v>83</v>
      </c>
      <c r="E12" s="50">
        <v>78.95</v>
      </c>
    </row>
    <row r="13" spans="3:5">
      <c r="C13" s="49">
        <v>46053</v>
      </c>
      <c r="D13" s="1" t="s">
        <v>83</v>
      </c>
      <c r="E13" s="50">
        <v>10000</v>
      </c>
    </row>
    <row r="14" spans="3:5">
      <c r="C14" s="49">
        <v>46054</v>
      </c>
      <c r="D14" s="1" t="s">
        <v>84</v>
      </c>
      <c r="E14" s="50">
        <v>63.96</v>
      </c>
    </row>
    <row r="15" spans="3:5">
      <c r="C15" s="49">
        <v>46055</v>
      </c>
      <c r="D15" s="1" t="s">
        <v>82</v>
      </c>
      <c r="E15" s="50">
        <v>7841</v>
      </c>
    </row>
    <row r="16" spans="3:5">
      <c r="C16" s="49">
        <v>46056</v>
      </c>
      <c r="D16" s="1" t="s">
        <v>83</v>
      </c>
      <c r="E16" s="50">
        <v>49.89</v>
      </c>
    </row>
    <row r="18" ht="16.5" customHeight="1"/>
  </sheetData>
  <mergeCells count="3">
    <mergeCell ref="C7:E7"/>
    <mergeCell ref="C3:E3"/>
    <mergeCell ref="C4:E4"/>
  </mergeCells>
  <dataValidations count="1">
    <dataValidation type="list" allowBlank="1" showInputMessage="1" showErrorMessage="1" sqref="D9:D16" xr:uid="{F2D12995-3F87-47EE-943A-BDE71336312B}">
      <formula1>"HOLERITE,CNPJ,FREELANCER"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B8A90-B03A-4AB1-9E8E-7BF504A605D5}">
  <dimension ref="A1:A51"/>
  <sheetViews>
    <sheetView workbookViewId="0">
      <selection activeCell="F6" sqref="F6"/>
    </sheetView>
  </sheetViews>
  <sheetFormatPr defaultRowHeight="15"/>
  <cols>
    <col min="1" max="1" width="36.5703125" bestFit="1" customWidth="1"/>
  </cols>
  <sheetData>
    <row r="1" spans="1:1">
      <c r="A1" s="40" t="s">
        <v>85</v>
      </c>
    </row>
    <row r="2" spans="1:1">
      <c r="A2" s="41" t="s">
        <v>71</v>
      </c>
    </row>
    <row r="3" spans="1:1">
      <c r="A3" s="41" t="s">
        <v>86</v>
      </c>
    </row>
    <row r="4" spans="1:1">
      <c r="A4" s="41" t="s">
        <v>87</v>
      </c>
    </row>
    <row r="5" spans="1:1">
      <c r="A5" s="41" t="s">
        <v>88</v>
      </c>
    </row>
    <row r="6" spans="1:1">
      <c r="A6" s="41" t="s">
        <v>89</v>
      </c>
    </row>
    <row r="7" spans="1:1">
      <c r="A7" s="41" t="s">
        <v>90</v>
      </c>
    </row>
    <row r="8" spans="1:1">
      <c r="A8" s="41" t="s">
        <v>91</v>
      </c>
    </row>
    <row r="9" spans="1:1">
      <c r="A9" s="41" t="s">
        <v>92</v>
      </c>
    </row>
    <row r="10" spans="1:1">
      <c r="A10" s="41" t="s">
        <v>93</v>
      </c>
    </row>
    <row r="11" spans="1:1">
      <c r="A11" s="41" t="s">
        <v>94</v>
      </c>
    </row>
    <row r="12" spans="1:1">
      <c r="A12" s="41" t="s">
        <v>95</v>
      </c>
    </row>
    <row r="13" spans="1:1">
      <c r="A13" s="41" t="s">
        <v>96</v>
      </c>
    </row>
    <row r="14" spans="1:1">
      <c r="A14" s="41" t="s">
        <v>97</v>
      </c>
    </row>
    <row r="15" spans="1:1">
      <c r="A15" s="41" t="s">
        <v>98</v>
      </c>
    </row>
    <row r="16" spans="1:1">
      <c r="A16" s="41" t="s">
        <v>99</v>
      </c>
    </row>
    <row r="17" spans="1:1">
      <c r="A17" s="41" t="s">
        <v>100</v>
      </c>
    </row>
    <row r="18" spans="1:1">
      <c r="A18" s="41" t="s">
        <v>101</v>
      </c>
    </row>
    <row r="19" spans="1:1">
      <c r="A19" s="41" t="s">
        <v>102</v>
      </c>
    </row>
    <row r="20" spans="1:1">
      <c r="A20" s="41" t="s">
        <v>103</v>
      </c>
    </row>
    <row r="21" spans="1:1">
      <c r="A21" s="41" t="s">
        <v>104</v>
      </c>
    </row>
    <row r="22" spans="1:1">
      <c r="A22" s="41" t="s">
        <v>66</v>
      </c>
    </row>
    <row r="23" spans="1:1">
      <c r="A23" s="41" t="s">
        <v>105</v>
      </c>
    </row>
    <row r="24" spans="1:1">
      <c r="A24" s="41" t="s">
        <v>106</v>
      </c>
    </row>
    <row r="25" spans="1:1">
      <c r="A25" s="41" t="s">
        <v>107</v>
      </c>
    </row>
    <row r="26" spans="1:1">
      <c r="A26" s="41" t="s">
        <v>108</v>
      </c>
    </row>
    <row r="27" spans="1:1" ht="17.25" customHeight="1">
      <c r="A27" s="41" t="s">
        <v>109</v>
      </c>
    </row>
    <row r="28" spans="1:1">
      <c r="A28" s="41" t="s">
        <v>110</v>
      </c>
    </row>
    <row r="29" spans="1:1">
      <c r="A29" s="41" t="s">
        <v>111</v>
      </c>
    </row>
    <row r="30" spans="1:1">
      <c r="A30" s="41" t="s">
        <v>112</v>
      </c>
    </row>
    <row r="31" spans="1:1">
      <c r="A31" s="41" t="s">
        <v>113</v>
      </c>
    </row>
    <row r="32" spans="1:1">
      <c r="A32" s="41" t="s">
        <v>114</v>
      </c>
    </row>
    <row r="33" spans="1:1">
      <c r="A33" s="41" t="s">
        <v>115</v>
      </c>
    </row>
    <row r="34" spans="1:1">
      <c r="A34" s="41" t="s">
        <v>116</v>
      </c>
    </row>
    <row r="35" spans="1:1">
      <c r="A35" s="41" t="s">
        <v>117</v>
      </c>
    </row>
    <row r="36" spans="1:1">
      <c r="A36" s="41" t="s">
        <v>118</v>
      </c>
    </row>
    <row r="37" spans="1:1">
      <c r="A37" s="41" t="s">
        <v>119</v>
      </c>
    </row>
    <row r="38" spans="1:1">
      <c r="A38" s="41" t="s">
        <v>120</v>
      </c>
    </row>
    <row r="39" spans="1:1">
      <c r="A39" s="41" t="s">
        <v>121</v>
      </c>
    </row>
    <row r="40" spans="1:1">
      <c r="A40" s="41" t="s">
        <v>122</v>
      </c>
    </row>
    <row r="41" spans="1:1">
      <c r="A41" s="41" t="s">
        <v>123</v>
      </c>
    </row>
    <row r="42" spans="1:1">
      <c r="A42" s="41" t="s">
        <v>124</v>
      </c>
    </row>
    <row r="43" spans="1:1">
      <c r="A43" s="41" t="s">
        <v>125</v>
      </c>
    </row>
    <row r="44" spans="1:1">
      <c r="A44" s="41" t="s">
        <v>126</v>
      </c>
    </row>
    <row r="45" spans="1:1">
      <c r="A45" s="41" t="s">
        <v>74</v>
      </c>
    </row>
    <row r="46" spans="1:1">
      <c r="A46" s="41" t="s">
        <v>127</v>
      </c>
    </row>
    <row r="47" spans="1:1">
      <c r="A47" s="41" t="s">
        <v>128</v>
      </c>
    </row>
    <row r="48" spans="1:1">
      <c r="A48" s="41" t="s">
        <v>129</v>
      </c>
    </row>
    <row r="49" spans="1:1">
      <c r="A49" s="41" t="s">
        <v>130</v>
      </c>
    </row>
    <row r="50" spans="1:1">
      <c r="A50" s="41" t="s">
        <v>131</v>
      </c>
    </row>
    <row r="51" spans="1:1">
      <c r="A51" s="41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2025-12-25T18:16:39Z</dcterms:created>
  <dcterms:modified xsi:type="dcterms:W3CDTF">2026-02-09T13:34:10Z</dcterms:modified>
  <cp:category/>
  <cp:contentStatus/>
</cp:coreProperties>
</file>